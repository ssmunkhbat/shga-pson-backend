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ажил шинэ\"/>
    </mc:Choice>
  </mc:AlternateContent>
  <bookViews>
    <workbookView xWindow="0" yWindow="0" windowWidth="20490" windowHeight="765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9" i="1" l="1"/>
  <c r="Z10" i="1"/>
  <c r="Z11" i="1"/>
  <c r="Z8" i="1"/>
  <c r="X9" i="1"/>
  <c r="X10" i="1"/>
  <c r="X11" i="1"/>
  <c r="X8" i="1"/>
  <c r="V9" i="1"/>
  <c r="V10" i="1"/>
  <c r="V11" i="1"/>
  <c r="V8" i="1"/>
  <c r="U11" i="1"/>
  <c r="U10" i="1"/>
  <c r="U9" i="1"/>
  <c r="U8" i="1"/>
  <c r="R9" i="1"/>
  <c r="R10" i="1"/>
  <c r="R11" i="1"/>
  <c r="R8" i="1"/>
  <c r="Q9" i="1"/>
  <c r="Q10" i="1"/>
  <c r="Q11" i="1"/>
  <c r="Q8" i="1"/>
  <c r="K9" i="1"/>
  <c r="K10" i="1"/>
  <c r="K11" i="1"/>
  <c r="K8" i="1"/>
</calcChain>
</file>

<file path=xl/sharedStrings.xml><?xml version="1.0" encoding="utf-8"?>
<sst xmlns="http://schemas.openxmlformats.org/spreadsheetml/2006/main" count="46" uniqueCount="41">
  <si>
    <t>№</t>
  </si>
  <si>
    <t>Тойргийн дугаар</t>
  </si>
  <si>
    <t>Тухайн өдрийн үлдэгдэл</t>
  </si>
  <si>
    <t>ТУХАЙН ӨДӨРТ ГҮЙЦЭТГЭСЭН</t>
  </si>
  <si>
    <t>Түдгэлзүүлсэн гүйцэтгэх баримт бичиг</t>
  </si>
  <si>
    <t>Цахим үлдэгдэл</t>
  </si>
  <si>
    <t>Зөрүү</t>
  </si>
  <si>
    <t>Шинээр нэмэгдсэн</t>
  </si>
  <si>
    <t>Хасагдсан</t>
  </si>
  <si>
    <t>Биелүүлбэл зохих</t>
  </si>
  <si>
    <t>Үүнээс</t>
  </si>
  <si>
    <t>Үлдэгдэл</t>
  </si>
  <si>
    <t>Хувь</t>
  </si>
  <si>
    <t>шүүхээс  ирсэн</t>
  </si>
  <si>
    <t>харьяаллаар ирсэн</t>
  </si>
  <si>
    <t>Нийт дүн</t>
  </si>
  <si>
    <t>шүүх, төлбөр авагчид буцаасан</t>
  </si>
  <si>
    <t>харьяаллаар шилжсэн</t>
  </si>
  <si>
    <t>түдгэлзүүлсэн</t>
  </si>
  <si>
    <t>Дүн</t>
  </si>
  <si>
    <t>хэсэгчлэн төлөлт</t>
  </si>
  <si>
    <t>бодитой биелүүлсэн</t>
  </si>
  <si>
    <t>Өмнөх өдрийн үлдэгдэл</t>
  </si>
  <si>
    <t>г/х</t>
  </si>
  <si>
    <t>м/д</t>
  </si>
  <si>
    <t>х/тэт</t>
  </si>
  <si>
    <t>ШҮҮХИЙН ШИЙДВЭР ГҮЙЦЭТГЭХ, ГАЗАР, ХЭЛТЭС /ХЭСЭГ/-ИЙН ШИЙДВЭР ГҮЙЦЭТГЭХ АЖИЛЛАГААНЫ 2018 ОНЫ .... ДУГААР САРЫН .....-НЫ ӨДРИЙН МЭДЭЭ</t>
  </si>
  <si>
    <t>газар хооронд</t>
  </si>
  <si>
    <t>газар дотор</t>
  </si>
  <si>
    <t>сэргээсэн</t>
  </si>
  <si>
    <t>буцаасан</t>
  </si>
  <si>
    <t>дууссан</t>
  </si>
  <si>
    <t>хэрэгсэхгүй буюу хүчингүй болсон</t>
  </si>
  <si>
    <t>14=9+10+11+12+13</t>
  </si>
  <si>
    <t>15=1+8-14</t>
  </si>
  <si>
    <t>(г/х; 18=15-16)             (м/д; 18=15-16-17)</t>
  </si>
  <si>
    <t>19=(18/15)*100</t>
  </si>
  <si>
    <t>21=20+13-5</t>
  </si>
  <si>
    <t>22 (цахим бүртгэлийн ажиллагаатай үлдэгдэл)</t>
  </si>
  <si>
    <t>23=22-18</t>
  </si>
  <si>
    <t>8=2+3+4+5+6+7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</si>
</sst>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74" formatCode="0.0_);[Red]\(0.0\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8"/>
      <color theme="1"/>
      <name val="Arial"/>
      <family val="2"/>
    </font>
    <font>
      <b/>
      <i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4">
    <xf numFmtId="0" fontId="0" fillId="0" borderId="0" xfId="0"/>
    <xf numFmtId="164" fontId="3" fillId="2" borderId="0" xfId="1" applyNumberFormat="1" applyFont="1" applyFill="1" applyAlignment="1">
      <alignment horizontal="center" vertical="center"/>
    </xf>
    <xf numFmtId="0" fontId="3" fillId="2" borderId="0" xfId="0" applyFont="1" applyFill="1"/>
    <xf numFmtId="165" fontId="3" fillId="2" borderId="0" xfId="0" applyNumberFormat="1" applyFont="1" applyFill="1"/>
    <xf numFmtId="165" fontId="3" fillId="2" borderId="0" xfId="1" applyNumberFormat="1" applyFont="1" applyFill="1"/>
    <xf numFmtId="10" fontId="3" fillId="2" borderId="0" xfId="0" applyNumberFormat="1" applyFont="1" applyFill="1"/>
    <xf numFmtId="0" fontId="4" fillId="2" borderId="0" xfId="0" applyFont="1" applyFill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164" fontId="3" fillId="2" borderId="2" xfId="1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65" fontId="3" fillId="2" borderId="2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164" fontId="3" fillId="2" borderId="8" xfId="1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165" fontId="3" fillId="2" borderId="8" xfId="0" applyNumberFormat="1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0" fontId="3" fillId="2" borderId="2" xfId="0" applyNumberFormat="1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textRotation="90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textRotation="90" wrapText="1"/>
    </xf>
    <xf numFmtId="165" fontId="3" fillId="2" borderId="11" xfId="1" applyNumberFormat="1" applyFont="1" applyFill="1" applyBorder="1" applyAlignment="1">
      <alignment horizontal="center" vertical="center" wrapText="1"/>
    </xf>
    <xf numFmtId="10" fontId="3" fillId="2" borderId="8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165" fontId="3" fillId="2" borderId="14" xfId="0" applyNumberFormat="1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textRotation="90" wrapText="1"/>
    </xf>
    <xf numFmtId="0" fontId="3" fillId="2" borderId="14" xfId="0" applyFont="1" applyFill="1" applyBorder="1" applyAlignment="1">
      <alignment horizontal="center" vertical="center" textRotation="90" wrapText="1"/>
    </xf>
    <xf numFmtId="0" fontId="3" fillId="2" borderId="14" xfId="0" applyFont="1" applyFill="1" applyBorder="1" applyAlignment="1">
      <alignment horizontal="center" vertical="center" wrapText="1"/>
    </xf>
    <xf numFmtId="10" fontId="3" fillId="2" borderId="14" xfId="0" applyNumberFormat="1" applyFont="1" applyFill="1" applyBorder="1" applyAlignment="1">
      <alignment horizontal="center" vertical="center"/>
    </xf>
    <xf numFmtId="164" fontId="3" fillId="2" borderId="14" xfId="1" applyNumberFormat="1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1" fontId="3" fillId="2" borderId="2" xfId="1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justify" vertical="center"/>
    </xf>
    <xf numFmtId="165" fontId="3" fillId="2" borderId="11" xfId="1" applyNumberFormat="1" applyFont="1" applyFill="1" applyBorder="1"/>
    <xf numFmtId="164" fontId="2" fillId="2" borderId="11" xfId="1" applyNumberFormat="1" applyFont="1" applyFill="1" applyBorder="1"/>
    <xf numFmtId="164" fontId="3" fillId="2" borderId="11" xfId="1" applyNumberFormat="1" applyFont="1" applyFill="1" applyBorder="1"/>
    <xf numFmtId="164" fontId="3" fillId="2" borderId="0" xfId="1" applyNumberFormat="1" applyFont="1" applyFill="1"/>
    <xf numFmtId="164" fontId="4" fillId="2" borderId="0" xfId="1" applyNumberFormat="1" applyFont="1" applyFill="1"/>
    <xf numFmtId="1" fontId="3" fillId="2" borderId="8" xfId="1" applyNumberFormat="1" applyFont="1" applyFill="1" applyBorder="1" applyAlignment="1">
      <alignment horizontal="center" vertical="center"/>
    </xf>
    <xf numFmtId="165" fontId="3" fillId="2" borderId="5" xfId="1" applyNumberFormat="1" applyFont="1" applyFill="1" applyBorder="1" applyAlignment="1">
      <alignment horizontal="justify" vertical="center"/>
    </xf>
    <xf numFmtId="165" fontId="2" fillId="2" borderId="11" xfId="1" applyNumberFormat="1" applyFont="1" applyFill="1" applyBorder="1"/>
    <xf numFmtId="165" fontId="4" fillId="2" borderId="0" xfId="1" applyNumberFormat="1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64" fontId="4" fillId="2" borderId="0" xfId="1" applyNumberFormat="1" applyFont="1" applyFill="1" applyAlignment="1">
      <alignment horizontal="center" vertical="center"/>
    </xf>
    <xf numFmtId="165" fontId="4" fillId="2" borderId="0" xfId="0" applyNumberFormat="1" applyFont="1" applyFill="1"/>
    <xf numFmtId="10" fontId="4" fillId="2" borderId="0" xfId="0" applyNumberFormat="1" applyFont="1" applyFill="1"/>
    <xf numFmtId="1" fontId="3" fillId="2" borderId="14" xfId="1" applyNumberFormat="1" applyFont="1" applyFill="1" applyBorder="1" applyAlignment="1">
      <alignment horizontal="center" vertical="center"/>
    </xf>
    <xf numFmtId="165" fontId="3" fillId="2" borderId="14" xfId="1" applyNumberFormat="1" applyFont="1" applyFill="1" applyBorder="1" applyAlignment="1">
      <alignment horizontal="center" vertical="center" wrapText="1"/>
    </xf>
    <xf numFmtId="1" fontId="6" fillId="2" borderId="0" xfId="0" applyNumberFormat="1" applyFont="1" applyFill="1" applyAlignment="1">
      <alignment wrapText="1"/>
    </xf>
    <xf numFmtId="1" fontId="7" fillId="2" borderId="0" xfId="0" applyNumberFormat="1" applyFont="1" applyFill="1" applyAlignment="1">
      <alignment wrapText="1"/>
    </xf>
    <xf numFmtId="174" fontId="3" fillId="2" borderId="0" xfId="0" applyNumberFormat="1" applyFont="1" applyFill="1" applyAlignment="1">
      <alignment horizontal="center" vertical="center"/>
    </xf>
    <xf numFmtId="174" fontId="5" fillId="2" borderId="0" xfId="0" applyNumberFormat="1" applyFont="1" applyFill="1" applyAlignment="1">
      <alignment horizontal="center" vertical="center"/>
    </xf>
    <xf numFmtId="174" fontId="3" fillId="2" borderId="2" xfId="0" applyNumberFormat="1" applyFont="1" applyFill="1" applyBorder="1" applyAlignment="1">
      <alignment horizontal="center" vertical="center"/>
    </xf>
    <xf numFmtId="174" fontId="3" fillId="2" borderId="8" xfId="0" applyNumberFormat="1" applyFont="1" applyFill="1" applyBorder="1" applyAlignment="1">
      <alignment horizontal="center" vertical="center"/>
    </xf>
    <xf numFmtId="174" fontId="3" fillId="2" borderId="14" xfId="0" applyNumberFormat="1" applyFont="1" applyFill="1" applyBorder="1" applyAlignment="1">
      <alignment horizontal="center" vertical="center"/>
    </xf>
    <xf numFmtId="174" fontId="4" fillId="2" borderId="0" xfId="0" applyNumberFormat="1" applyFont="1" applyFill="1" applyAlignment="1">
      <alignment horizontal="center" vertical="center"/>
    </xf>
    <xf numFmtId="174" fontId="3" fillId="2" borderId="0" xfId="0" applyNumberFormat="1" applyFont="1" applyFill="1"/>
    <xf numFmtId="174" fontId="3" fillId="2" borderId="11" xfId="0" applyNumberFormat="1" applyFont="1" applyFill="1" applyBorder="1" applyAlignment="1">
      <alignment horizontal="center" vertical="center" wrapText="1"/>
    </xf>
    <xf numFmtId="174" fontId="4" fillId="2" borderId="0" xfId="0" applyNumberFormat="1" applyFont="1" applyFill="1"/>
    <xf numFmtId="1" fontId="6" fillId="3" borderId="11" xfId="0" applyNumberFormat="1" applyFont="1" applyFill="1" applyBorder="1" applyAlignment="1">
      <alignment horizontal="center" vertical="center" wrapText="1"/>
    </xf>
    <xf numFmtId="164" fontId="3" fillId="3" borderId="11" xfId="1" applyNumberFormat="1" applyFont="1" applyFill="1" applyBorder="1"/>
    <xf numFmtId="1" fontId="6" fillId="3" borderId="11" xfId="1" applyNumberFormat="1" applyFont="1" applyFill="1" applyBorder="1" applyAlignment="1">
      <alignment horizontal="center" vertical="center" wrapText="1"/>
    </xf>
    <xf numFmtId="10" fontId="3" fillId="3" borderId="11" xfId="1" applyNumberFormat="1" applyFont="1" applyFill="1" applyBorder="1"/>
    <xf numFmtId="174" fontId="3" fillId="3" borderId="11" xfId="1" applyNumberFormat="1" applyFont="1" applyFill="1" applyBorder="1"/>
    <xf numFmtId="174" fontId="3" fillId="3" borderId="11" xfId="1" applyNumberFormat="1" applyFont="1" applyFill="1" applyBorder="1" applyAlignment="1">
      <alignment horizontal="center" vertical="center"/>
    </xf>
    <xf numFmtId="1" fontId="6" fillId="3" borderId="14" xfId="0" applyNumberFormat="1" applyFont="1" applyFill="1" applyBorder="1" applyAlignment="1">
      <alignment horizontal="center" vertical="center" wrapText="1"/>
    </xf>
    <xf numFmtId="174" fontId="6" fillId="3" borderId="11" xfId="0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16"/>
  <sheetViews>
    <sheetView tabSelected="1" workbookViewId="0">
      <selection activeCell="K8" sqref="K8"/>
    </sheetView>
  </sheetViews>
  <sheetFormatPr defaultRowHeight="12.75" x14ac:dyDescent="0.2"/>
  <cols>
    <col min="1" max="1" width="4.42578125" style="60" customWidth="1"/>
    <col min="2" max="2" width="19.140625" style="6" customWidth="1"/>
    <col min="3" max="3" width="6" style="6" customWidth="1"/>
    <col min="4" max="4" width="12.140625" style="61" customWidth="1"/>
    <col min="5" max="10" width="8.5703125" style="6" customWidth="1"/>
    <col min="11" max="11" width="13.140625" style="6" customWidth="1"/>
    <col min="12" max="16" width="9.7109375" style="6" customWidth="1"/>
    <col min="17" max="17" width="9.5703125" style="57" customWidth="1"/>
    <col min="18" max="20" width="15" style="6" customWidth="1"/>
    <col min="21" max="21" width="20" style="6" customWidth="1"/>
    <col min="22" max="22" width="15" style="62" customWidth="1"/>
    <col min="23" max="23" width="19.42578125" style="6" customWidth="1"/>
    <col min="24" max="24" width="18.42578125" style="75" customWidth="1"/>
    <col min="25" max="25" width="22.7109375" style="6" customWidth="1"/>
    <col min="26" max="26" width="19.5703125" style="72" customWidth="1"/>
    <col min="27" max="243" width="9.140625" style="6"/>
    <col min="244" max="244" width="6.42578125" style="6" customWidth="1"/>
    <col min="245" max="245" width="12.42578125" style="6" customWidth="1"/>
    <col min="246" max="246" width="6.42578125" style="6" customWidth="1"/>
    <col min="247" max="261" width="16.42578125" style="6" customWidth="1"/>
    <col min="262" max="262" width="6.42578125" style="6" customWidth="1"/>
    <col min="263" max="263" width="14.42578125" style="6" customWidth="1"/>
    <col min="264" max="264" width="6.42578125" style="6" customWidth="1"/>
    <col min="265" max="281" width="14.140625" style="6" customWidth="1"/>
    <col min="282" max="282" width="14.85546875" style="6" customWidth="1"/>
    <col min="283" max="499" width="9.140625" style="6"/>
    <col min="500" max="500" width="6.42578125" style="6" customWidth="1"/>
    <col min="501" max="501" width="12.42578125" style="6" customWidth="1"/>
    <col min="502" max="502" width="6.42578125" style="6" customWidth="1"/>
    <col min="503" max="517" width="16.42578125" style="6" customWidth="1"/>
    <col min="518" max="518" width="6.42578125" style="6" customWidth="1"/>
    <col min="519" max="519" width="14.42578125" style="6" customWidth="1"/>
    <col min="520" max="520" width="6.42578125" style="6" customWidth="1"/>
    <col min="521" max="537" width="14.140625" style="6" customWidth="1"/>
    <col min="538" max="538" width="14.85546875" style="6" customWidth="1"/>
    <col min="539" max="755" width="9.140625" style="6"/>
    <col min="756" max="756" width="6.42578125" style="6" customWidth="1"/>
    <col min="757" max="757" width="12.42578125" style="6" customWidth="1"/>
    <col min="758" max="758" width="6.42578125" style="6" customWidth="1"/>
    <col min="759" max="773" width="16.42578125" style="6" customWidth="1"/>
    <col min="774" max="774" width="6.42578125" style="6" customWidth="1"/>
    <col min="775" max="775" width="14.42578125" style="6" customWidth="1"/>
    <col min="776" max="776" width="6.42578125" style="6" customWidth="1"/>
    <col min="777" max="793" width="14.140625" style="6" customWidth="1"/>
    <col min="794" max="794" width="14.85546875" style="6" customWidth="1"/>
    <col min="795" max="1011" width="9.140625" style="6"/>
    <col min="1012" max="1012" width="6.42578125" style="6" customWidth="1"/>
    <col min="1013" max="1013" width="12.42578125" style="6" customWidth="1"/>
    <col min="1014" max="1014" width="6.42578125" style="6" customWidth="1"/>
    <col min="1015" max="1029" width="16.42578125" style="6" customWidth="1"/>
    <col min="1030" max="1030" width="6.42578125" style="6" customWidth="1"/>
    <col min="1031" max="1031" width="14.42578125" style="6" customWidth="1"/>
    <col min="1032" max="1032" width="6.42578125" style="6" customWidth="1"/>
    <col min="1033" max="1049" width="14.140625" style="6" customWidth="1"/>
    <col min="1050" max="1050" width="14.85546875" style="6" customWidth="1"/>
    <col min="1051" max="1267" width="9.140625" style="6"/>
    <col min="1268" max="1268" width="6.42578125" style="6" customWidth="1"/>
    <col min="1269" max="1269" width="12.42578125" style="6" customWidth="1"/>
    <col min="1270" max="1270" width="6.42578125" style="6" customWidth="1"/>
    <col min="1271" max="1285" width="16.42578125" style="6" customWidth="1"/>
    <col min="1286" max="1286" width="6.42578125" style="6" customWidth="1"/>
    <col min="1287" max="1287" width="14.42578125" style="6" customWidth="1"/>
    <col min="1288" max="1288" width="6.42578125" style="6" customWidth="1"/>
    <col min="1289" max="1305" width="14.140625" style="6" customWidth="1"/>
    <col min="1306" max="1306" width="14.85546875" style="6" customWidth="1"/>
    <col min="1307" max="1523" width="9.140625" style="6"/>
    <col min="1524" max="1524" width="6.42578125" style="6" customWidth="1"/>
    <col min="1525" max="1525" width="12.42578125" style="6" customWidth="1"/>
    <col min="1526" max="1526" width="6.42578125" style="6" customWidth="1"/>
    <col min="1527" max="1541" width="16.42578125" style="6" customWidth="1"/>
    <col min="1542" max="1542" width="6.42578125" style="6" customWidth="1"/>
    <col min="1543" max="1543" width="14.42578125" style="6" customWidth="1"/>
    <col min="1544" max="1544" width="6.42578125" style="6" customWidth="1"/>
    <col min="1545" max="1561" width="14.140625" style="6" customWidth="1"/>
    <col min="1562" max="1562" width="14.85546875" style="6" customWidth="1"/>
    <col min="1563" max="1779" width="9.140625" style="6"/>
    <col min="1780" max="1780" width="6.42578125" style="6" customWidth="1"/>
    <col min="1781" max="1781" width="12.42578125" style="6" customWidth="1"/>
    <col min="1782" max="1782" width="6.42578125" style="6" customWidth="1"/>
    <col min="1783" max="1797" width="16.42578125" style="6" customWidth="1"/>
    <col min="1798" max="1798" width="6.42578125" style="6" customWidth="1"/>
    <col min="1799" max="1799" width="14.42578125" style="6" customWidth="1"/>
    <col min="1800" max="1800" width="6.42578125" style="6" customWidth="1"/>
    <col min="1801" max="1817" width="14.140625" style="6" customWidth="1"/>
    <col min="1818" max="1818" width="14.85546875" style="6" customWidth="1"/>
    <col min="1819" max="2035" width="9.140625" style="6"/>
    <col min="2036" max="2036" width="6.42578125" style="6" customWidth="1"/>
    <col min="2037" max="2037" width="12.42578125" style="6" customWidth="1"/>
    <col min="2038" max="2038" width="6.42578125" style="6" customWidth="1"/>
    <col min="2039" max="2053" width="16.42578125" style="6" customWidth="1"/>
    <col min="2054" max="2054" width="6.42578125" style="6" customWidth="1"/>
    <col min="2055" max="2055" width="14.42578125" style="6" customWidth="1"/>
    <col min="2056" max="2056" width="6.42578125" style="6" customWidth="1"/>
    <col min="2057" max="2073" width="14.140625" style="6" customWidth="1"/>
    <col min="2074" max="2074" width="14.85546875" style="6" customWidth="1"/>
    <col min="2075" max="2291" width="9.140625" style="6"/>
    <col min="2292" max="2292" width="6.42578125" style="6" customWidth="1"/>
    <col min="2293" max="2293" width="12.42578125" style="6" customWidth="1"/>
    <col min="2294" max="2294" width="6.42578125" style="6" customWidth="1"/>
    <col min="2295" max="2309" width="16.42578125" style="6" customWidth="1"/>
    <col min="2310" max="2310" width="6.42578125" style="6" customWidth="1"/>
    <col min="2311" max="2311" width="14.42578125" style="6" customWidth="1"/>
    <col min="2312" max="2312" width="6.42578125" style="6" customWidth="1"/>
    <col min="2313" max="2329" width="14.140625" style="6" customWidth="1"/>
    <col min="2330" max="2330" width="14.85546875" style="6" customWidth="1"/>
    <col min="2331" max="2547" width="9.140625" style="6"/>
    <col min="2548" max="2548" width="6.42578125" style="6" customWidth="1"/>
    <col min="2549" max="2549" width="12.42578125" style="6" customWidth="1"/>
    <col min="2550" max="2550" width="6.42578125" style="6" customWidth="1"/>
    <col min="2551" max="2565" width="16.42578125" style="6" customWidth="1"/>
    <col min="2566" max="2566" width="6.42578125" style="6" customWidth="1"/>
    <col min="2567" max="2567" width="14.42578125" style="6" customWidth="1"/>
    <col min="2568" max="2568" width="6.42578125" style="6" customWidth="1"/>
    <col min="2569" max="2585" width="14.140625" style="6" customWidth="1"/>
    <col min="2586" max="2586" width="14.85546875" style="6" customWidth="1"/>
    <col min="2587" max="2803" width="9.140625" style="6"/>
    <col min="2804" max="2804" width="6.42578125" style="6" customWidth="1"/>
    <col min="2805" max="2805" width="12.42578125" style="6" customWidth="1"/>
    <col min="2806" max="2806" width="6.42578125" style="6" customWidth="1"/>
    <col min="2807" max="2821" width="16.42578125" style="6" customWidth="1"/>
    <col min="2822" max="2822" width="6.42578125" style="6" customWidth="1"/>
    <col min="2823" max="2823" width="14.42578125" style="6" customWidth="1"/>
    <col min="2824" max="2824" width="6.42578125" style="6" customWidth="1"/>
    <col min="2825" max="2841" width="14.140625" style="6" customWidth="1"/>
    <col min="2842" max="2842" width="14.85546875" style="6" customWidth="1"/>
    <col min="2843" max="3059" width="9.140625" style="6"/>
    <col min="3060" max="3060" width="6.42578125" style="6" customWidth="1"/>
    <col min="3061" max="3061" width="12.42578125" style="6" customWidth="1"/>
    <col min="3062" max="3062" width="6.42578125" style="6" customWidth="1"/>
    <col min="3063" max="3077" width="16.42578125" style="6" customWidth="1"/>
    <col min="3078" max="3078" width="6.42578125" style="6" customWidth="1"/>
    <col min="3079" max="3079" width="14.42578125" style="6" customWidth="1"/>
    <col min="3080" max="3080" width="6.42578125" style="6" customWidth="1"/>
    <col min="3081" max="3097" width="14.140625" style="6" customWidth="1"/>
    <col min="3098" max="3098" width="14.85546875" style="6" customWidth="1"/>
    <col min="3099" max="3315" width="9.140625" style="6"/>
    <col min="3316" max="3316" width="6.42578125" style="6" customWidth="1"/>
    <col min="3317" max="3317" width="12.42578125" style="6" customWidth="1"/>
    <col min="3318" max="3318" width="6.42578125" style="6" customWidth="1"/>
    <col min="3319" max="3333" width="16.42578125" style="6" customWidth="1"/>
    <col min="3334" max="3334" width="6.42578125" style="6" customWidth="1"/>
    <col min="3335" max="3335" width="14.42578125" style="6" customWidth="1"/>
    <col min="3336" max="3336" width="6.42578125" style="6" customWidth="1"/>
    <col min="3337" max="3353" width="14.140625" style="6" customWidth="1"/>
    <col min="3354" max="3354" width="14.85546875" style="6" customWidth="1"/>
    <col min="3355" max="3571" width="9.140625" style="6"/>
    <col min="3572" max="3572" width="6.42578125" style="6" customWidth="1"/>
    <col min="3573" max="3573" width="12.42578125" style="6" customWidth="1"/>
    <col min="3574" max="3574" width="6.42578125" style="6" customWidth="1"/>
    <col min="3575" max="3589" width="16.42578125" style="6" customWidth="1"/>
    <col min="3590" max="3590" width="6.42578125" style="6" customWidth="1"/>
    <col min="3591" max="3591" width="14.42578125" style="6" customWidth="1"/>
    <col min="3592" max="3592" width="6.42578125" style="6" customWidth="1"/>
    <col min="3593" max="3609" width="14.140625" style="6" customWidth="1"/>
    <col min="3610" max="3610" width="14.85546875" style="6" customWidth="1"/>
    <col min="3611" max="3827" width="9.140625" style="6"/>
    <col min="3828" max="3828" width="6.42578125" style="6" customWidth="1"/>
    <col min="3829" max="3829" width="12.42578125" style="6" customWidth="1"/>
    <col min="3830" max="3830" width="6.42578125" style="6" customWidth="1"/>
    <col min="3831" max="3845" width="16.42578125" style="6" customWidth="1"/>
    <col min="3846" max="3846" width="6.42578125" style="6" customWidth="1"/>
    <col min="3847" max="3847" width="14.42578125" style="6" customWidth="1"/>
    <col min="3848" max="3848" width="6.42578125" style="6" customWidth="1"/>
    <col min="3849" max="3865" width="14.140625" style="6" customWidth="1"/>
    <col min="3866" max="3866" width="14.85546875" style="6" customWidth="1"/>
    <col min="3867" max="4083" width="9.140625" style="6"/>
    <col min="4084" max="4084" width="6.42578125" style="6" customWidth="1"/>
    <col min="4085" max="4085" width="12.42578125" style="6" customWidth="1"/>
    <col min="4086" max="4086" width="6.42578125" style="6" customWidth="1"/>
    <col min="4087" max="4101" width="16.42578125" style="6" customWidth="1"/>
    <col min="4102" max="4102" width="6.42578125" style="6" customWidth="1"/>
    <col min="4103" max="4103" width="14.42578125" style="6" customWidth="1"/>
    <col min="4104" max="4104" width="6.42578125" style="6" customWidth="1"/>
    <col min="4105" max="4121" width="14.140625" style="6" customWidth="1"/>
    <col min="4122" max="4122" width="14.85546875" style="6" customWidth="1"/>
    <col min="4123" max="4339" width="9.140625" style="6"/>
    <col min="4340" max="4340" width="6.42578125" style="6" customWidth="1"/>
    <col min="4341" max="4341" width="12.42578125" style="6" customWidth="1"/>
    <col min="4342" max="4342" width="6.42578125" style="6" customWidth="1"/>
    <col min="4343" max="4357" width="16.42578125" style="6" customWidth="1"/>
    <col min="4358" max="4358" width="6.42578125" style="6" customWidth="1"/>
    <col min="4359" max="4359" width="14.42578125" style="6" customWidth="1"/>
    <col min="4360" max="4360" width="6.42578125" style="6" customWidth="1"/>
    <col min="4361" max="4377" width="14.140625" style="6" customWidth="1"/>
    <col min="4378" max="4378" width="14.85546875" style="6" customWidth="1"/>
    <col min="4379" max="4595" width="9.140625" style="6"/>
    <col min="4596" max="4596" width="6.42578125" style="6" customWidth="1"/>
    <col min="4597" max="4597" width="12.42578125" style="6" customWidth="1"/>
    <col min="4598" max="4598" width="6.42578125" style="6" customWidth="1"/>
    <col min="4599" max="4613" width="16.42578125" style="6" customWidth="1"/>
    <col min="4614" max="4614" width="6.42578125" style="6" customWidth="1"/>
    <col min="4615" max="4615" width="14.42578125" style="6" customWidth="1"/>
    <col min="4616" max="4616" width="6.42578125" style="6" customWidth="1"/>
    <col min="4617" max="4633" width="14.140625" style="6" customWidth="1"/>
    <col min="4634" max="4634" width="14.85546875" style="6" customWidth="1"/>
    <col min="4635" max="4851" width="9.140625" style="6"/>
    <col min="4852" max="4852" width="6.42578125" style="6" customWidth="1"/>
    <col min="4853" max="4853" width="12.42578125" style="6" customWidth="1"/>
    <col min="4854" max="4854" width="6.42578125" style="6" customWidth="1"/>
    <col min="4855" max="4869" width="16.42578125" style="6" customWidth="1"/>
    <col min="4870" max="4870" width="6.42578125" style="6" customWidth="1"/>
    <col min="4871" max="4871" width="14.42578125" style="6" customWidth="1"/>
    <col min="4872" max="4872" width="6.42578125" style="6" customWidth="1"/>
    <col min="4873" max="4889" width="14.140625" style="6" customWidth="1"/>
    <col min="4890" max="4890" width="14.85546875" style="6" customWidth="1"/>
    <col min="4891" max="5107" width="9.140625" style="6"/>
    <col min="5108" max="5108" width="6.42578125" style="6" customWidth="1"/>
    <col min="5109" max="5109" width="12.42578125" style="6" customWidth="1"/>
    <col min="5110" max="5110" width="6.42578125" style="6" customWidth="1"/>
    <col min="5111" max="5125" width="16.42578125" style="6" customWidth="1"/>
    <col min="5126" max="5126" width="6.42578125" style="6" customWidth="1"/>
    <col min="5127" max="5127" width="14.42578125" style="6" customWidth="1"/>
    <col min="5128" max="5128" width="6.42578125" style="6" customWidth="1"/>
    <col min="5129" max="5145" width="14.140625" style="6" customWidth="1"/>
    <col min="5146" max="5146" width="14.85546875" style="6" customWidth="1"/>
    <col min="5147" max="5363" width="9.140625" style="6"/>
    <col min="5364" max="5364" width="6.42578125" style="6" customWidth="1"/>
    <col min="5365" max="5365" width="12.42578125" style="6" customWidth="1"/>
    <col min="5366" max="5366" width="6.42578125" style="6" customWidth="1"/>
    <col min="5367" max="5381" width="16.42578125" style="6" customWidth="1"/>
    <col min="5382" max="5382" width="6.42578125" style="6" customWidth="1"/>
    <col min="5383" max="5383" width="14.42578125" style="6" customWidth="1"/>
    <col min="5384" max="5384" width="6.42578125" style="6" customWidth="1"/>
    <col min="5385" max="5401" width="14.140625" style="6" customWidth="1"/>
    <col min="5402" max="5402" width="14.85546875" style="6" customWidth="1"/>
    <col min="5403" max="5619" width="9.140625" style="6"/>
    <col min="5620" max="5620" width="6.42578125" style="6" customWidth="1"/>
    <col min="5621" max="5621" width="12.42578125" style="6" customWidth="1"/>
    <col min="5622" max="5622" width="6.42578125" style="6" customWidth="1"/>
    <col min="5623" max="5637" width="16.42578125" style="6" customWidth="1"/>
    <col min="5638" max="5638" width="6.42578125" style="6" customWidth="1"/>
    <col min="5639" max="5639" width="14.42578125" style="6" customWidth="1"/>
    <col min="5640" max="5640" width="6.42578125" style="6" customWidth="1"/>
    <col min="5641" max="5657" width="14.140625" style="6" customWidth="1"/>
    <col min="5658" max="5658" width="14.85546875" style="6" customWidth="1"/>
    <col min="5659" max="5875" width="9.140625" style="6"/>
    <col min="5876" max="5876" width="6.42578125" style="6" customWidth="1"/>
    <col min="5877" max="5877" width="12.42578125" style="6" customWidth="1"/>
    <col min="5878" max="5878" width="6.42578125" style="6" customWidth="1"/>
    <col min="5879" max="5893" width="16.42578125" style="6" customWidth="1"/>
    <col min="5894" max="5894" width="6.42578125" style="6" customWidth="1"/>
    <col min="5895" max="5895" width="14.42578125" style="6" customWidth="1"/>
    <col min="5896" max="5896" width="6.42578125" style="6" customWidth="1"/>
    <col min="5897" max="5913" width="14.140625" style="6" customWidth="1"/>
    <col min="5914" max="5914" width="14.85546875" style="6" customWidth="1"/>
    <col min="5915" max="6131" width="9.140625" style="6"/>
    <col min="6132" max="6132" width="6.42578125" style="6" customWidth="1"/>
    <col min="6133" max="6133" width="12.42578125" style="6" customWidth="1"/>
    <col min="6134" max="6134" width="6.42578125" style="6" customWidth="1"/>
    <col min="6135" max="6149" width="16.42578125" style="6" customWidth="1"/>
    <col min="6150" max="6150" width="6.42578125" style="6" customWidth="1"/>
    <col min="6151" max="6151" width="14.42578125" style="6" customWidth="1"/>
    <col min="6152" max="6152" width="6.42578125" style="6" customWidth="1"/>
    <col min="6153" max="6169" width="14.140625" style="6" customWidth="1"/>
    <col min="6170" max="6170" width="14.85546875" style="6" customWidth="1"/>
    <col min="6171" max="6387" width="9.140625" style="6"/>
    <col min="6388" max="6388" width="6.42578125" style="6" customWidth="1"/>
    <col min="6389" max="6389" width="12.42578125" style="6" customWidth="1"/>
    <col min="6390" max="6390" width="6.42578125" style="6" customWidth="1"/>
    <col min="6391" max="6405" width="16.42578125" style="6" customWidth="1"/>
    <col min="6406" max="6406" width="6.42578125" style="6" customWidth="1"/>
    <col min="6407" max="6407" width="14.42578125" style="6" customWidth="1"/>
    <col min="6408" max="6408" width="6.42578125" style="6" customWidth="1"/>
    <col min="6409" max="6425" width="14.140625" style="6" customWidth="1"/>
    <col min="6426" max="6426" width="14.85546875" style="6" customWidth="1"/>
    <col min="6427" max="6643" width="9.140625" style="6"/>
    <col min="6644" max="6644" width="6.42578125" style="6" customWidth="1"/>
    <col min="6645" max="6645" width="12.42578125" style="6" customWidth="1"/>
    <col min="6646" max="6646" width="6.42578125" style="6" customWidth="1"/>
    <col min="6647" max="6661" width="16.42578125" style="6" customWidth="1"/>
    <col min="6662" max="6662" width="6.42578125" style="6" customWidth="1"/>
    <col min="6663" max="6663" width="14.42578125" style="6" customWidth="1"/>
    <col min="6664" max="6664" width="6.42578125" style="6" customWidth="1"/>
    <col min="6665" max="6681" width="14.140625" style="6" customWidth="1"/>
    <col min="6682" max="6682" width="14.85546875" style="6" customWidth="1"/>
    <col min="6683" max="6899" width="9.140625" style="6"/>
    <col min="6900" max="6900" width="6.42578125" style="6" customWidth="1"/>
    <col min="6901" max="6901" width="12.42578125" style="6" customWidth="1"/>
    <col min="6902" max="6902" width="6.42578125" style="6" customWidth="1"/>
    <col min="6903" max="6917" width="16.42578125" style="6" customWidth="1"/>
    <col min="6918" max="6918" width="6.42578125" style="6" customWidth="1"/>
    <col min="6919" max="6919" width="14.42578125" style="6" customWidth="1"/>
    <col min="6920" max="6920" width="6.42578125" style="6" customWidth="1"/>
    <col min="6921" max="6937" width="14.140625" style="6" customWidth="1"/>
    <col min="6938" max="6938" width="14.85546875" style="6" customWidth="1"/>
    <col min="6939" max="7155" width="9.140625" style="6"/>
    <col min="7156" max="7156" width="6.42578125" style="6" customWidth="1"/>
    <col min="7157" max="7157" width="12.42578125" style="6" customWidth="1"/>
    <col min="7158" max="7158" width="6.42578125" style="6" customWidth="1"/>
    <col min="7159" max="7173" width="16.42578125" style="6" customWidth="1"/>
    <col min="7174" max="7174" width="6.42578125" style="6" customWidth="1"/>
    <col min="7175" max="7175" width="14.42578125" style="6" customWidth="1"/>
    <col min="7176" max="7176" width="6.42578125" style="6" customWidth="1"/>
    <col min="7177" max="7193" width="14.140625" style="6" customWidth="1"/>
    <col min="7194" max="7194" width="14.85546875" style="6" customWidth="1"/>
    <col min="7195" max="7411" width="9.140625" style="6"/>
    <col min="7412" max="7412" width="6.42578125" style="6" customWidth="1"/>
    <col min="7413" max="7413" width="12.42578125" style="6" customWidth="1"/>
    <col min="7414" max="7414" width="6.42578125" style="6" customWidth="1"/>
    <col min="7415" max="7429" width="16.42578125" style="6" customWidth="1"/>
    <col min="7430" max="7430" width="6.42578125" style="6" customWidth="1"/>
    <col min="7431" max="7431" width="14.42578125" style="6" customWidth="1"/>
    <col min="7432" max="7432" width="6.42578125" style="6" customWidth="1"/>
    <col min="7433" max="7449" width="14.140625" style="6" customWidth="1"/>
    <col min="7450" max="7450" width="14.85546875" style="6" customWidth="1"/>
    <col min="7451" max="7667" width="9.140625" style="6"/>
    <col min="7668" max="7668" width="6.42578125" style="6" customWidth="1"/>
    <col min="7669" max="7669" width="12.42578125" style="6" customWidth="1"/>
    <col min="7670" max="7670" width="6.42578125" style="6" customWidth="1"/>
    <col min="7671" max="7685" width="16.42578125" style="6" customWidth="1"/>
    <col min="7686" max="7686" width="6.42578125" style="6" customWidth="1"/>
    <col min="7687" max="7687" width="14.42578125" style="6" customWidth="1"/>
    <col min="7688" max="7688" width="6.42578125" style="6" customWidth="1"/>
    <col min="7689" max="7705" width="14.140625" style="6" customWidth="1"/>
    <col min="7706" max="7706" width="14.85546875" style="6" customWidth="1"/>
    <col min="7707" max="7923" width="9.140625" style="6"/>
    <col min="7924" max="7924" width="6.42578125" style="6" customWidth="1"/>
    <col min="7925" max="7925" width="12.42578125" style="6" customWidth="1"/>
    <col min="7926" max="7926" width="6.42578125" style="6" customWidth="1"/>
    <col min="7927" max="7941" width="16.42578125" style="6" customWidth="1"/>
    <col min="7942" max="7942" width="6.42578125" style="6" customWidth="1"/>
    <col min="7943" max="7943" width="14.42578125" style="6" customWidth="1"/>
    <col min="7944" max="7944" width="6.42578125" style="6" customWidth="1"/>
    <col min="7945" max="7961" width="14.140625" style="6" customWidth="1"/>
    <col min="7962" max="7962" width="14.85546875" style="6" customWidth="1"/>
    <col min="7963" max="8179" width="9.140625" style="6"/>
    <col min="8180" max="8180" width="6.42578125" style="6" customWidth="1"/>
    <col min="8181" max="8181" width="12.42578125" style="6" customWidth="1"/>
    <col min="8182" max="8182" width="6.42578125" style="6" customWidth="1"/>
    <col min="8183" max="8197" width="16.42578125" style="6" customWidth="1"/>
    <col min="8198" max="8198" width="6.42578125" style="6" customWidth="1"/>
    <col min="8199" max="8199" width="14.42578125" style="6" customWidth="1"/>
    <col min="8200" max="8200" width="6.42578125" style="6" customWidth="1"/>
    <col min="8201" max="8217" width="14.140625" style="6" customWidth="1"/>
    <col min="8218" max="8218" width="14.85546875" style="6" customWidth="1"/>
    <col min="8219" max="8435" width="9.140625" style="6"/>
    <col min="8436" max="8436" width="6.42578125" style="6" customWidth="1"/>
    <col min="8437" max="8437" width="12.42578125" style="6" customWidth="1"/>
    <col min="8438" max="8438" width="6.42578125" style="6" customWidth="1"/>
    <col min="8439" max="8453" width="16.42578125" style="6" customWidth="1"/>
    <col min="8454" max="8454" width="6.42578125" style="6" customWidth="1"/>
    <col min="8455" max="8455" width="14.42578125" style="6" customWidth="1"/>
    <col min="8456" max="8456" width="6.42578125" style="6" customWidth="1"/>
    <col min="8457" max="8473" width="14.140625" style="6" customWidth="1"/>
    <col min="8474" max="8474" width="14.85546875" style="6" customWidth="1"/>
    <col min="8475" max="8691" width="9.140625" style="6"/>
    <col min="8692" max="8692" width="6.42578125" style="6" customWidth="1"/>
    <col min="8693" max="8693" width="12.42578125" style="6" customWidth="1"/>
    <col min="8694" max="8694" width="6.42578125" style="6" customWidth="1"/>
    <col min="8695" max="8709" width="16.42578125" style="6" customWidth="1"/>
    <col min="8710" max="8710" width="6.42578125" style="6" customWidth="1"/>
    <col min="8711" max="8711" width="14.42578125" style="6" customWidth="1"/>
    <col min="8712" max="8712" width="6.42578125" style="6" customWidth="1"/>
    <col min="8713" max="8729" width="14.140625" style="6" customWidth="1"/>
    <col min="8730" max="8730" width="14.85546875" style="6" customWidth="1"/>
    <col min="8731" max="8947" width="9.140625" style="6"/>
    <col min="8948" max="8948" width="6.42578125" style="6" customWidth="1"/>
    <col min="8949" max="8949" width="12.42578125" style="6" customWidth="1"/>
    <col min="8950" max="8950" width="6.42578125" style="6" customWidth="1"/>
    <col min="8951" max="8965" width="16.42578125" style="6" customWidth="1"/>
    <col min="8966" max="8966" width="6.42578125" style="6" customWidth="1"/>
    <col min="8967" max="8967" width="14.42578125" style="6" customWidth="1"/>
    <col min="8968" max="8968" width="6.42578125" style="6" customWidth="1"/>
    <col min="8969" max="8985" width="14.140625" style="6" customWidth="1"/>
    <col min="8986" max="8986" width="14.85546875" style="6" customWidth="1"/>
    <col min="8987" max="9203" width="9.140625" style="6"/>
    <col min="9204" max="9204" width="6.42578125" style="6" customWidth="1"/>
    <col min="9205" max="9205" width="12.42578125" style="6" customWidth="1"/>
    <col min="9206" max="9206" width="6.42578125" style="6" customWidth="1"/>
    <col min="9207" max="9221" width="16.42578125" style="6" customWidth="1"/>
    <col min="9222" max="9222" width="6.42578125" style="6" customWidth="1"/>
    <col min="9223" max="9223" width="14.42578125" style="6" customWidth="1"/>
    <col min="9224" max="9224" width="6.42578125" style="6" customWidth="1"/>
    <col min="9225" max="9241" width="14.140625" style="6" customWidth="1"/>
    <col min="9242" max="9242" width="14.85546875" style="6" customWidth="1"/>
    <col min="9243" max="9459" width="9.140625" style="6"/>
    <col min="9460" max="9460" width="6.42578125" style="6" customWidth="1"/>
    <col min="9461" max="9461" width="12.42578125" style="6" customWidth="1"/>
    <col min="9462" max="9462" width="6.42578125" style="6" customWidth="1"/>
    <col min="9463" max="9477" width="16.42578125" style="6" customWidth="1"/>
    <col min="9478" max="9478" width="6.42578125" style="6" customWidth="1"/>
    <col min="9479" max="9479" width="14.42578125" style="6" customWidth="1"/>
    <col min="9480" max="9480" width="6.42578125" style="6" customWidth="1"/>
    <col min="9481" max="9497" width="14.140625" style="6" customWidth="1"/>
    <col min="9498" max="9498" width="14.85546875" style="6" customWidth="1"/>
    <col min="9499" max="9715" width="9.140625" style="6"/>
    <col min="9716" max="9716" width="6.42578125" style="6" customWidth="1"/>
    <col min="9717" max="9717" width="12.42578125" style="6" customWidth="1"/>
    <col min="9718" max="9718" width="6.42578125" style="6" customWidth="1"/>
    <col min="9719" max="9733" width="16.42578125" style="6" customWidth="1"/>
    <col min="9734" max="9734" width="6.42578125" style="6" customWidth="1"/>
    <col min="9735" max="9735" width="14.42578125" style="6" customWidth="1"/>
    <col min="9736" max="9736" width="6.42578125" style="6" customWidth="1"/>
    <col min="9737" max="9753" width="14.140625" style="6" customWidth="1"/>
    <col min="9754" max="9754" width="14.85546875" style="6" customWidth="1"/>
    <col min="9755" max="9971" width="9.140625" style="6"/>
    <col min="9972" max="9972" width="6.42578125" style="6" customWidth="1"/>
    <col min="9973" max="9973" width="12.42578125" style="6" customWidth="1"/>
    <col min="9974" max="9974" width="6.42578125" style="6" customWidth="1"/>
    <col min="9975" max="9989" width="16.42578125" style="6" customWidth="1"/>
    <col min="9990" max="9990" width="6.42578125" style="6" customWidth="1"/>
    <col min="9991" max="9991" width="14.42578125" style="6" customWidth="1"/>
    <col min="9992" max="9992" width="6.42578125" style="6" customWidth="1"/>
    <col min="9993" max="10009" width="14.140625" style="6" customWidth="1"/>
    <col min="10010" max="10010" width="14.85546875" style="6" customWidth="1"/>
    <col min="10011" max="10227" width="9.140625" style="6"/>
    <col min="10228" max="10228" width="6.42578125" style="6" customWidth="1"/>
    <col min="10229" max="10229" width="12.42578125" style="6" customWidth="1"/>
    <col min="10230" max="10230" width="6.42578125" style="6" customWidth="1"/>
    <col min="10231" max="10245" width="16.42578125" style="6" customWidth="1"/>
    <col min="10246" max="10246" width="6.42578125" style="6" customWidth="1"/>
    <col min="10247" max="10247" width="14.42578125" style="6" customWidth="1"/>
    <col min="10248" max="10248" width="6.42578125" style="6" customWidth="1"/>
    <col min="10249" max="10265" width="14.140625" style="6" customWidth="1"/>
    <col min="10266" max="10266" width="14.85546875" style="6" customWidth="1"/>
    <col min="10267" max="10483" width="9.140625" style="6"/>
    <col min="10484" max="10484" width="6.42578125" style="6" customWidth="1"/>
    <col min="10485" max="10485" width="12.42578125" style="6" customWidth="1"/>
    <col min="10486" max="10486" width="6.42578125" style="6" customWidth="1"/>
    <col min="10487" max="10501" width="16.42578125" style="6" customWidth="1"/>
    <col min="10502" max="10502" width="6.42578125" style="6" customWidth="1"/>
    <col min="10503" max="10503" width="14.42578125" style="6" customWidth="1"/>
    <col min="10504" max="10504" width="6.42578125" style="6" customWidth="1"/>
    <col min="10505" max="10521" width="14.140625" style="6" customWidth="1"/>
    <col min="10522" max="10522" width="14.85546875" style="6" customWidth="1"/>
    <col min="10523" max="10739" width="9.140625" style="6"/>
    <col min="10740" max="10740" width="6.42578125" style="6" customWidth="1"/>
    <col min="10741" max="10741" width="12.42578125" style="6" customWidth="1"/>
    <col min="10742" max="10742" width="6.42578125" style="6" customWidth="1"/>
    <col min="10743" max="10757" width="16.42578125" style="6" customWidth="1"/>
    <col min="10758" max="10758" width="6.42578125" style="6" customWidth="1"/>
    <col min="10759" max="10759" width="14.42578125" style="6" customWidth="1"/>
    <col min="10760" max="10760" width="6.42578125" style="6" customWidth="1"/>
    <col min="10761" max="10777" width="14.140625" style="6" customWidth="1"/>
    <col min="10778" max="10778" width="14.85546875" style="6" customWidth="1"/>
    <col min="10779" max="10995" width="9.140625" style="6"/>
    <col min="10996" max="10996" width="6.42578125" style="6" customWidth="1"/>
    <col min="10997" max="10997" width="12.42578125" style="6" customWidth="1"/>
    <col min="10998" max="10998" width="6.42578125" style="6" customWidth="1"/>
    <col min="10999" max="11013" width="16.42578125" style="6" customWidth="1"/>
    <col min="11014" max="11014" width="6.42578125" style="6" customWidth="1"/>
    <col min="11015" max="11015" width="14.42578125" style="6" customWidth="1"/>
    <col min="11016" max="11016" width="6.42578125" style="6" customWidth="1"/>
    <col min="11017" max="11033" width="14.140625" style="6" customWidth="1"/>
    <col min="11034" max="11034" width="14.85546875" style="6" customWidth="1"/>
    <col min="11035" max="11251" width="9.140625" style="6"/>
    <col min="11252" max="11252" width="6.42578125" style="6" customWidth="1"/>
    <col min="11253" max="11253" width="12.42578125" style="6" customWidth="1"/>
    <col min="11254" max="11254" width="6.42578125" style="6" customWidth="1"/>
    <col min="11255" max="11269" width="16.42578125" style="6" customWidth="1"/>
    <col min="11270" max="11270" width="6.42578125" style="6" customWidth="1"/>
    <col min="11271" max="11271" width="14.42578125" style="6" customWidth="1"/>
    <col min="11272" max="11272" width="6.42578125" style="6" customWidth="1"/>
    <col min="11273" max="11289" width="14.140625" style="6" customWidth="1"/>
    <col min="11290" max="11290" width="14.85546875" style="6" customWidth="1"/>
    <col min="11291" max="11507" width="9.140625" style="6"/>
    <col min="11508" max="11508" width="6.42578125" style="6" customWidth="1"/>
    <col min="11509" max="11509" width="12.42578125" style="6" customWidth="1"/>
    <col min="11510" max="11510" width="6.42578125" style="6" customWidth="1"/>
    <col min="11511" max="11525" width="16.42578125" style="6" customWidth="1"/>
    <col min="11526" max="11526" width="6.42578125" style="6" customWidth="1"/>
    <col min="11527" max="11527" width="14.42578125" style="6" customWidth="1"/>
    <col min="11528" max="11528" width="6.42578125" style="6" customWidth="1"/>
    <col min="11529" max="11545" width="14.140625" style="6" customWidth="1"/>
    <col min="11546" max="11546" width="14.85546875" style="6" customWidth="1"/>
    <col min="11547" max="11763" width="9.140625" style="6"/>
    <col min="11764" max="11764" width="6.42578125" style="6" customWidth="1"/>
    <col min="11765" max="11765" width="12.42578125" style="6" customWidth="1"/>
    <col min="11766" max="11766" width="6.42578125" style="6" customWidth="1"/>
    <col min="11767" max="11781" width="16.42578125" style="6" customWidth="1"/>
    <col min="11782" max="11782" width="6.42578125" style="6" customWidth="1"/>
    <col min="11783" max="11783" width="14.42578125" style="6" customWidth="1"/>
    <col min="11784" max="11784" width="6.42578125" style="6" customWidth="1"/>
    <col min="11785" max="11801" width="14.140625" style="6" customWidth="1"/>
    <col min="11802" max="11802" width="14.85546875" style="6" customWidth="1"/>
    <col min="11803" max="12019" width="9.140625" style="6"/>
    <col min="12020" max="12020" width="6.42578125" style="6" customWidth="1"/>
    <col min="12021" max="12021" width="12.42578125" style="6" customWidth="1"/>
    <col min="12022" max="12022" width="6.42578125" style="6" customWidth="1"/>
    <col min="12023" max="12037" width="16.42578125" style="6" customWidth="1"/>
    <col min="12038" max="12038" width="6.42578125" style="6" customWidth="1"/>
    <col min="12039" max="12039" width="14.42578125" style="6" customWidth="1"/>
    <col min="12040" max="12040" width="6.42578125" style="6" customWidth="1"/>
    <col min="12041" max="12057" width="14.140625" style="6" customWidth="1"/>
    <col min="12058" max="12058" width="14.85546875" style="6" customWidth="1"/>
    <col min="12059" max="12275" width="9.140625" style="6"/>
    <col min="12276" max="12276" width="6.42578125" style="6" customWidth="1"/>
    <col min="12277" max="12277" width="12.42578125" style="6" customWidth="1"/>
    <col min="12278" max="12278" width="6.42578125" style="6" customWidth="1"/>
    <col min="12279" max="12293" width="16.42578125" style="6" customWidth="1"/>
    <col min="12294" max="12294" width="6.42578125" style="6" customWidth="1"/>
    <col min="12295" max="12295" width="14.42578125" style="6" customWidth="1"/>
    <col min="12296" max="12296" width="6.42578125" style="6" customWidth="1"/>
    <col min="12297" max="12313" width="14.140625" style="6" customWidth="1"/>
    <col min="12314" max="12314" width="14.85546875" style="6" customWidth="1"/>
    <col min="12315" max="12531" width="9.140625" style="6"/>
    <col min="12532" max="12532" width="6.42578125" style="6" customWidth="1"/>
    <col min="12533" max="12533" width="12.42578125" style="6" customWidth="1"/>
    <col min="12534" max="12534" width="6.42578125" style="6" customWidth="1"/>
    <col min="12535" max="12549" width="16.42578125" style="6" customWidth="1"/>
    <col min="12550" max="12550" width="6.42578125" style="6" customWidth="1"/>
    <col min="12551" max="12551" width="14.42578125" style="6" customWidth="1"/>
    <col min="12552" max="12552" width="6.42578125" style="6" customWidth="1"/>
    <col min="12553" max="12569" width="14.140625" style="6" customWidth="1"/>
    <col min="12570" max="12570" width="14.85546875" style="6" customWidth="1"/>
    <col min="12571" max="12787" width="9.140625" style="6"/>
    <col min="12788" max="12788" width="6.42578125" style="6" customWidth="1"/>
    <col min="12789" max="12789" width="12.42578125" style="6" customWidth="1"/>
    <col min="12790" max="12790" width="6.42578125" style="6" customWidth="1"/>
    <col min="12791" max="12805" width="16.42578125" style="6" customWidth="1"/>
    <col min="12806" max="12806" width="6.42578125" style="6" customWidth="1"/>
    <col min="12807" max="12807" width="14.42578125" style="6" customWidth="1"/>
    <col min="12808" max="12808" width="6.42578125" style="6" customWidth="1"/>
    <col min="12809" max="12825" width="14.140625" style="6" customWidth="1"/>
    <col min="12826" max="12826" width="14.85546875" style="6" customWidth="1"/>
    <col min="12827" max="13043" width="9.140625" style="6"/>
    <col min="13044" max="13044" width="6.42578125" style="6" customWidth="1"/>
    <col min="13045" max="13045" width="12.42578125" style="6" customWidth="1"/>
    <col min="13046" max="13046" width="6.42578125" style="6" customWidth="1"/>
    <col min="13047" max="13061" width="16.42578125" style="6" customWidth="1"/>
    <col min="13062" max="13062" width="6.42578125" style="6" customWidth="1"/>
    <col min="13063" max="13063" width="14.42578125" style="6" customWidth="1"/>
    <col min="13064" max="13064" width="6.42578125" style="6" customWidth="1"/>
    <col min="13065" max="13081" width="14.140625" style="6" customWidth="1"/>
    <col min="13082" max="13082" width="14.85546875" style="6" customWidth="1"/>
    <col min="13083" max="13299" width="9.140625" style="6"/>
    <col min="13300" max="13300" width="6.42578125" style="6" customWidth="1"/>
    <col min="13301" max="13301" width="12.42578125" style="6" customWidth="1"/>
    <col min="13302" max="13302" width="6.42578125" style="6" customWidth="1"/>
    <col min="13303" max="13317" width="16.42578125" style="6" customWidth="1"/>
    <col min="13318" max="13318" width="6.42578125" style="6" customWidth="1"/>
    <col min="13319" max="13319" width="14.42578125" style="6" customWidth="1"/>
    <col min="13320" max="13320" width="6.42578125" style="6" customWidth="1"/>
    <col min="13321" max="13337" width="14.140625" style="6" customWidth="1"/>
    <col min="13338" max="13338" width="14.85546875" style="6" customWidth="1"/>
    <col min="13339" max="13555" width="9.140625" style="6"/>
    <col min="13556" max="13556" width="6.42578125" style="6" customWidth="1"/>
    <col min="13557" max="13557" width="12.42578125" style="6" customWidth="1"/>
    <col min="13558" max="13558" width="6.42578125" style="6" customWidth="1"/>
    <col min="13559" max="13573" width="16.42578125" style="6" customWidth="1"/>
    <col min="13574" max="13574" width="6.42578125" style="6" customWidth="1"/>
    <col min="13575" max="13575" width="14.42578125" style="6" customWidth="1"/>
    <col min="13576" max="13576" width="6.42578125" style="6" customWidth="1"/>
    <col min="13577" max="13593" width="14.140625" style="6" customWidth="1"/>
    <col min="13594" max="13594" width="14.85546875" style="6" customWidth="1"/>
    <col min="13595" max="13811" width="9.140625" style="6"/>
    <col min="13812" max="13812" width="6.42578125" style="6" customWidth="1"/>
    <col min="13813" max="13813" width="12.42578125" style="6" customWidth="1"/>
    <col min="13814" max="13814" width="6.42578125" style="6" customWidth="1"/>
    <col min="13815" max="13829" width="16.42578125" style="6" customWidth="1"/>
    <col min="13830" max="13830" width="6.42578125" style="6" customWidth="1"/>
    <col min="13831" max="13831" width="14.42578125" style="6" customWidth="1"/>
    <col min="13832" max="13832" width="6.42578125" style="6" customWidth="1"/>
    <col min="13833" max="13849" width="14.140625" style="6" customWidth="1"/>
    <col min="13850" max="13850" width="14.85546875" style="6" customWidth="1"/>
    <col min="13851" max="14067" width="9.140625" style="6"/>
    <col min="14068" max="14068" width="6.42578125" style="6" customWidth="1"/>
    <col min="14069" max="14069" width="12.42578125" style="6" customWidth="1"/>
    <col min="14070" max="14070" width="6.42578125" style="6" customWidth="1"/>
    <col min="14071" max="14085" width="16.42578125" style="6" customWidth="1"/>
    <col min="14086" max="14086" width="6.42578125" style="6" customWidth="1"/>
    <col min="14087" max="14087" width="14.42578125" style="6" customWidth="1"/>
    <col min="14088" max="14088" width="6.42578125" style="6" customWidth="1"/>
    <col min="14089" max="14105" width="14.140625" style="6" customWidth="1"/>
    <col min="14106" max="14106" width="14.85546875" style="6" customWidth="1"/>
    <col min="14107" max="14323" width="9.140625" style="6"/>
    <col min="14324" max="14324" width="6.42578125" style="6" customWidth="1"/>
    <col min="14325" max="14325" width="12.42578125" style="6" customWidth="1"/>
    <col min="14326" max="14326" width="6.42578125" style="6" customWidth="1"/>
    <col min="14327" max="14341" width="16.42578125" style="6" customWidth="1"/>
    <col min="14342" max="14342" width="6.42578125" style="6" customWidth="1"/>
    <col min="14343" max="14343" width="14.42578125" style="6" customWidth="1"/>
    <col min="14344" max="14344" width="6.42578125" style="6" customWidth="1"/>
    <col min="14345" max="14361" width="14.140625" style="6" customWidth="1"/>
    <col min="14362" max="14362" width="14.85546875" style="6" customWidth="1"/>
    <col min="14363" max="14579" width="9.140625" style="6"/>
    <col min="14580" max="14580" width="6.42578125" style="6" customWidth="1"/>
    <col min="14581" max="14581" width="12.42578125" style="6" customWidth="1"/>
    <col min="14582" max="14582" width="6.42578125" style="6" customWidth="1"/>
    <col min="14583" max="14597" width="16.42578125" style="6" customWidth="1"/>
    <col min="14598" max="14598" width="6.42578125" style="6" customWidth="1"/>
    <col min="14599" max="14599" width="14.42578125" style="6" customWidth="1"/>
    <col min="14600" max="14600" width="6.42578125" style="6" customWidth="1"/>
    <col min="14601" max="14617" width="14.140625" style="6" customWidth="1"/>
    <col min="14618" max="14618" width="14.85546875" style="6" customWidth="1"/>
    <col min="14619" max="14835" width="9.140625" style="6"/>
    <col min="14836" max="14836" width="6.42578125" style="6" customWidth="1"/>
    <col min="14837" max="14837" width="12.42578125" style="6" customWidth="1"/>
    <col min="14838" max="14838" width="6.42578125" style="6" customWidth="1"/>
    <col min="14839" max="14853" width="16.42578125" style="6" customWidth="1"/>
    <col min="14854" max="14854" width="6.42578125" style="6" customWidth="1"/>
    <col min="14855" max="14855" width="14.42578125" style="6" customWidth="1"/>
    <col min="14856" max="14856" width="6.42578125" style="6" customWidth="1"/>
    <col min="14857" max="14873" width="14.140625" style="6" customWidth="1"/>
    <col min="14874" max="14874" width="14.85546875" style="6" customWidth="1"/>
    <col min="14875" max="15091" width="9.140625" style="6"/>
    <col min="15092" max="15092" width="6.42578125" style="6" customWidth="1"/>
    <col min="15093" max="15093" width="12.42578125" style="6" customWidth="1"/>
    <col min="15094" max="15094" width="6.42578125" style="6" customWidth="1"/>
    <col min="15095" max="15109" width="16.42578125" style="6" customWidth="1"/>
    <col min="15110" max="15110" width="6.42578125" style="6" customWidth="1"/>
    <col min="15111" max="15111" width="14.42578125" style="6" customWidth="1"/>
    <col min="15112" max="15112" width="6.42578125" style="6" customWidth="1"/>
    <col min="15113" max="15129" width="14.140625" style="6" customWidth="1"/>
    <col min="15130" max="15130" width="14.85546875" style="6" customWidth="1"/>
    <col min="15131" max="15347" width="9.140625" style="6"/>
    <col min="15348" max="15348" width="6.42578125" style="6" customWidth="1"/>
    <col min="15349" max="15349" width="12.42578125" style="6" customWidth="1"/>
    <col min="15350" max="15350" width="6.42578125" style="6" customWidth="1"/>
    <col min="15351" max="15365" width="16.42578125" style="6" customWidth="1"/>
    <col min="15366" max="15366" width="6.42578125" style="6" customWidth="1"/>
    <col min="15367" max="15367" width="14.42578125" style="6" customWidth="1"/>
    <col min="15368" max="15368" width="6.42578125" style="6" customWidth="1"/>
    <col min="15369" max="15385" width="14.140625" style="6" customWidth="1"/>
    <col min="15386" max="15386" width="14.85546875" style="6" customWidth="1"/>
    <col min="15387" max="15603" width="9.140625" style="6"/>
    <col min="15604" max="15604" width="6.42578125" style="6" customWidth="1"/>
    <col min="15605" max="15605" width="12.42578125" style="6" customWidth="1"/>
    <col min="15606" max="15606" width="6.42578125" style="6" customWidth="1"/>
    <col min="15607" max="15621" width="16.42578125" style="6" customWidth="1"/>
    <col min="15622" max="15622" width="6.42578125" style="6" customWidth="1"/>
    <col min="15623" max="15623" width="14.42578125" style="6" customWidth="1"/>
    <col min="15624" max="15624" width="6.42578125" style="6" customWidth="1"/>
    <col min="15625" max="15641" width="14.140625" style="6" customWidth="1"/>
    <col min="15642" max="15642" width="14.85546875" style="6" customWidth="1"/>
    <col min="15643" max="15859" width="9.140625" style="6"/>
    <col min="15860" max="15860" width="6.42578125" style="6" customWidth="1"/>
    <col min="15861" max="15861" width="12.42578125" style="6" customWidth="1"/>
    <col min="15862" max="15862" width="6.42578125" style="6" customWidth="1"/>
    <col min="15863" max="15877" width="16.42578125" style="6" customWidth="1"/>
    <col min="15878" max="15878" width="6.42578125" style="6" customWidth="1"/>
    <col min="15879" max="15879" width="14.42578125" style="6" customWidth="1"/>
    <col min="15880" max="15880" width="6.42578125" style="6" customWidth="1"/>
    <col min="15881" max="15897" width="14.140625" style="6" customWidth="1"/>
    <col min="15898" max="15898" width="14.85546875" style="6" customWidth="1"/>
    <col min="15899" max="16115" width="9.140625" style="6"/>
    <col min="16116" max="16116" width="6.42578125" style="6" customWidth="1"/>
    <col min="16117" max="16117" width="12.42578125" style="6" customWidth="1"/>
    <col min="16118" max="16118" width="6.42578125" style="6" customWidth="1"/>
    <col min="16119" max="16133" width="16.42578125" style="6" customWidth="1"/>
    <col min="16134" max="16134" width="6.42578125" style="6" customWidth="1"/>
    <col min="16135" max="16135" width="14.42578125" style="6" customWidth="1"/>
    <col min="16136" max="16136" width="6.42578125" style="6" customWidth="1"/>
    <col min="16137" max="16153" width="14.140625" style="6" customWidth="1"/>
    <col min="16154" max="16154" width="14.85546875" style="6" customWidth="1"/>
    <col min="16155" max="16384" width="9.140625" style="6"/>
  </cols>
  <sheetData>
    <row r="1" spans="1:27" x14ac:dyDescent="0.2">
      <c r="A1" s="1"/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4"/>
      <c r="R1" s="2"/>
      <c r="S1" s="2"/>
      <c r="T1" s="2"/>
      <c r="U1" s="2"/>
      <c r="V1" s="5"/>
      <c r="W1" s="2"/>
      <c r="X1" s="73"/>
      <c r="Y1" s="2"/>
      <c r="Z1" s="67"/>
      <c r="AA1" s="2"/>
    </row>
    <row r="2" spans="1:27" ht="60" customHeight="1" x14ac:dyDescent="0.2">
      <c r="A2" s="7" t="s">
        <v>26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8"/>
      <c r="X2" s="8"/>
      <c r="Y2" s="8"/>
      <c r="Z2" s="68"/>
      <c r="AA2" s="9"/>
    </row>
    <row r="3" spans="1:27" ht="23.25" customHeight="1" x14ac:dyDescent="0.2">
      <c r="A3" s="10" t="s">
        <v>0</v>
      </c>
      <c r="B3" s="11" t="s">
        <v>1</v>
      </c>
      <c r="C3" s="12"/>
      <c r="D3" s="13" t="s">
        <v>2</v>
      </c>
      <c r="E3" s="14" t="s">
        <v>3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6"/>
      <c r="W3" s="17" t="s">
        <v>4</v>
      </c>
      <c r="X3" s="18"/>
      <c r="Y3" s="19" t="s">
        <v>5</v>
      </c>
      <c r="Z3" s="69" t="s">
        <v>6</v>
      </c>
      <c r="AA3" s="2"/>
    </row>
    <row r="4" spans="1:27" ht="30.75" customHeight="1" x14ac:dyDescent="0.2">
      <c r="A4" s="21"/>
      <c r="B4" s="22"/>
      <c r="C4" s="23"/>
      <c r="D4" s="24"/>
      <c r="E4" s="20" t="s">
        <v>7</v>
      </c>
      <c r="F4" s="20"/>
      <c r="G4" s="20"/>
      <c r="H4" s="20"/>
      <c r="I4" s="20"/>
      <c r="J4" s="20"/>
      <c r="K4" s="20"/>
      <c r="L4" s="25" t="s">
        <v>8</v>
      </c>
      <c r="M4" s="25"/>
      <c r="N4" s="25"/>
      <c r="O4" s="25"/>
      <c r="P4" s="25"/>
      <c r="Q4" s="20"/>
      <c r="R4" s="33" t="s">
        <v>9</v>
      </c>
      <c r="S4" s="26" t="s">
        <v>10</v>
      </c>
      <c r="T4" s="27"/>
      <c r="U4" s="25" t="s">
        <v>11</v>
      </c>
      <c r="V4" s="28" t="s">
        <v>12</v>
      </c>
      <c r="W4" s="29"/>
      <c r="X4" s="30"/>
      <c r="Y4" s="31"/>
      <c r="Z4" s="70"/>
      <c r="AA4" s="2"/>
    </row>
    <row r="5" spans="1:27" s="38" customFormat="1" ht="28.5" customHeight="1" x14ac:dyDescent="0.2">
      <c r="A5" s="21"/>
      <c r="B5" s="22"/>
      <c r="C5" s="23"/>
      <c r="D5" s="24"/>
      <c r="E5" s="32" t="s">
        <v>13</v>
      </c>
      <c r="F5" s="33" t="s">
        <v>14</v>
      </c>
      <c r="G5" s="33"/>
      <c r="H5" s="33" t="s">
        <v>29</v>
      </c>
      <c r="I5" s="33"/>
      <c r="J5" s="33"/>
      <c r="K5" s="42" t="s">
        <v>15</v>
      </c>
      <c r="L5" s="32" t="s">
        <v>16</v>
      </c>
      <c r="M5" s="34" t="s">
        <v>32</v>
      </c>
      <c r="N5" s="33" t="s">
        <v>17</v>
      </c>
      <c r="O5" s="33"/>
      <c r="P5" s="34" t="s">
        <v>18</v>
      </c>
      <c r="Q5" s="64" t="s">
        <v>19</v>
      </c>
      <c r="R5" s="33"/>
      <c r="S5" s="19" t="s">
        <v>20</v>
      </c>
      <c r="T5" s="19" t="s">
        <v>21</v>
      </c>
      <c r="U5" s="25"/>
      <c r="V5" s="36"/>
      <c r="W5" s="33" t="s">
        <v>22</v>
      </c>
      <c r="X5" s="74" t="s">
        <v>11</v>
      </c>
      <c r="Y5" s="31"/>
      <c r="Z5" s="70"/>
      <c r="AA5" s="37"/>
    </row>
    <row r="6" spans="1:27" s="38" customFormat="1" ht="87" customHeight="1" x14ac:dyDescent="0.2">
      <c r="A6" s="21"/>
      <c r="B6" s="22"/>
      <c r="C6" s="23"/>
      <c r="D6" s="39"/>
      <c r="E6" s="32"/>
      <c r="F6" s="40" t="s">
        <v>27</v>
      </c>
      <c r="G6" s="40" t="s">
        <v>28</v>
      </c>
      <c r="H6" s="40" t="s">
        <v>18</v>
      </c>
      <c r="I6" s="40" t="s">
        <v>30</v>
      </c>
      <c r="J6" s="40" t="s">
        <v>31</v>
      </c>
      <c r="K6" s="33"/>
      <c r="L6" s="32"/>
      <c r="M6" s="41"/>
      <c r="N6" s="40" t="s">
        <v>27</v>
      </c>
      <c r="O6" s="40" t="s">
        <v>28</v>
      </c>
      <c r="P6" s="41"/>
      <c r="Q6" s="35"/>
      <c r="R6" s="33"/>
      <c r="S6" s="42"/>
      <c r="T6" s="42"/>
      <c r="U6" s="25"/>
      <c r="V6" s="43"/>
      <c r="W6" s="33"/>
      <c r="X6" s="74"/>
      <c r="Y6" s="42"/>
      <c r="Z6" s="71"/>
      <c r="AA6" s="37"/>
    </row>
    <row r="7" spans="1:27" s="66" customFormat="1" ht="21" x14ac:dyDescent="0.2">
      <c r="A7" s="44"/>
      <c r="B7" s="45"/>
      <c r="C7" s="46"/>
      <c r="D7" s="82">
        <v>1</v>
      </c>
      <c r="E7" s="76">
        <v>2</v>
      </c>
      <c r="F7" s="76">
        <v>3</v>
      </c>
      <c r="G7" s="76">
        <v>4</v>
      </c>
      <c r="H7" s="76">
        <v>5</v>
      </c>
      <c r="I7" s="76">
        <v>6</v>
      </c>
      <c r="J7" s="76">
        <v>7</v>
      </c>
      <c r="K7" s="76" t="s">
        <v>40</v>
      </c>
      <c r="L7" s="76">
        <v>9</v>
      </c>
      <c r="M7" s="76">
        <v>10</v>
      </c>
      <c r="N7" s="76">
        <v>11</v>
      </c>
      <c r="O7" s="76">
        <v>12</v>
      </c>
      <c r="P7" s="82">
        <v>13</v>
      </c>
      <c r="Q7" s="78" t="s">
        <v>33</v>
      </c>
      <c r="R7" s="76" t="s">
        <v>34</v>
      </c>
      <c r="S7" s="76">
        <v>16</v>
      </c>
      <c r="T7" s="76">
        <v>17</v>
      </c>
      <c r="U7" s="76" t="s">
        <v>35</v>
      </c>
      <c r="V7" s="76" t="s">
        <v>36</v>
      </c>
      <c r="W7" s="76">
        <v>20</v>
      </c>
      <c r="X7" s="83" t="s">
        <v>37</v>
      </c>
      <c r="Y7" s="76" t="s">
        <v>38</v>
      </c>
      <c r="Z7" s="83" t="s">
        <v>39</v>
      </c>
      <c r="AA7" s="65"/>
    </row>
    <row r="8" spans="1:27" s="53" customFormat="1" ht="57.75" customHeight="1" x14ac:dyDescent="0.2">
      <c r="A8" s="47">
        <v>1</v>
      </c>
      <c r="B8" s="35"/>
      <c r="C8" s="48" t="s">
        <v>23</v>
      </c>
      <c r="D8" s="49"/>
      <c r="E8" s="50"/>
      <c r="F8" s="50"/>
      <c r="G8" s="50"/>
      <c r="H8" s="50"/>
      <c r="I8" s="50"/>
      <c r="J8" s="50"/>
      <c r="K8" s="77">
        <f>SUM(E8+F8+G8+H8+I8+J8)</f>
        <v>0</v>
      </c>
      <c r="L8" s="50"/>
      <c r="M8" s="50"/>
      <c r="N8" s="50"/>
      <c r="O8" s="50"/>
      <c r="P8" s="50"/>
      <c r="Q8" s="77">
        <f>SUM(L8+M8+N8+O8+P8)</f>
        <v>0</v>
      </c>
      <c r="R8" s="77">
        <f>SUM(D8+K8-Q8)</f>
        <v>0</v>
      </c>
      <c r="S8" s="50"/>
      <c r="T8" s="50"/>
      <c r="U8" s="77">
        <f>SUM(R8-S8)</f>
        <v>0</v>
      </c>
      <c r="V8" s="79" t="e">
        <f>SUM(U8/R8)*100</f>
        <v>#DIV/0!</v>
      </c>
      <c r="W8" s="51"/>
      <c r="X8" s="80">
        <f>SUM(W8-H8+P8)</f>
        <v>0</v>
      </c>
      <c r="Y8" s="50"/>
      <c r="Z8" s="81">
        <f>SUM(Y8-U8)</f>
        <v>0</v>
      </c>
      <c r="AA8" s="52"/>
    </row>
    <row r="9" spans="1:27" s="57" customFormat="1" ht="57.75" customHeight="1" x14ac:dyDescent="0.2">
      <c r="A9" s="54"/>
      <c r="B9" s="35"/>
      <c r="C9" s="55" t="s">
        <v>24</v>
      </c>
      <c r="D9" s="49"/>
      <c r="E9" s="56"/>
      <c r="F9" s="56"/>
      <c r="G9" s="56"/>
      <c r="H9" s="56"/>
      <c r="I9" s="56"/>
      <c r="J9" s="56"/>
      <c r="K9" s="77">
        <f t="shared" ref="K9:K11" si="0">SUM(E9+F9+G9+H9+I9+J9)</f>
        <v>0</v>
      </c>
      <c r="L9" s="56"/>
      <c r="M9" s="56"/>
      <c r="N9" s="56"/>
      <c r="O9" s="56"/>
      <c r="P9" s="56"/>
      <c r="Q9" s="77">
        <f t="shared" ref="Q9:Q11" si="1">SUM(L9+M9+N9+O9+P9)</f>
        <v>0</v>
      </c>
      <c r="R9" s="77">
        <f t="shared" ref="R9:R11" si="2">SUM(D9+K9-Q9)</f>
        <v>0</v>
      </c>
      <c r="S9" s="56"/>
      <c r="T9" s="56"/>
      <c r="U9" s="77">
        <f>SUM(R9-S9-T9)</f>
        <v>0</v>
      </c>
      <c r="V9" s="79" t="e">
        <f t="shared" ref="V9:V11" si="3">SUM(U9/R9)*100</f>
        <v>#DIV/0!</v>
      </c>
      <c r="W9" s="51"/>
      <c r="X9" s="80">
        <f t="shared" ref="X9:X11" si="4">SUM(W9-H9+P9)</f>
        <v>0</v>
      </c>
      <c r="Y9" s="56"/>
      <c r="Z9" s="81">
        <f t="shared" ref="Z9:Z11" si="5">SUM(Y9-U9)</f>
        <v>0</v>
      </c>
      <c r="AA9" s="4"/>
    </row>
    <row r="10" spans="1:27" s="57" customFormat="1" ht="57.75" customHeight="1" x14ac:dyDescent="0.2">
      <c r="A10" s="54"/>
      <c r="B10" s="35"/>
      <c r="C10" s="48" t="s">
        <v>25</v>
      </c>
      <c r="D10" s="49"/>
      <c r="E10" s="56"/>
      <c r="F10" s="56"/>
      <c r="G10" s="56"/>
      <c r="H10" s="56"/>
      <c r="I10" s="56"/>
      <c r="J10" s="56"/>
      <c r="K10" s="77">
        <f t="shared" si="0"/>
        <v>0</v>
      </c>
      <c r="L10" s="56"/>
      <c r="M10" s="56"/>
      <c r="N10" s="56"/>
      <c r="O10" s="56"/>
      <c r="P10" s="56"/>
      <c r="Q10" s="77">
        <f t="shared" si="1"/>
        <v>0</v>
      </c>
      <c r="R10" s="77">
        <f t="shared" si="2"/>
        <v>0</v>
      </c>
      <c r="S10" s="56"/>
      <c r="T10" s="56"/>
      <c r="U10" s="77">
        <f>SUM(R10-S10)</f>
        <v>0</v>
      </c>
      <c r="V10" s="79" t="e">
        <f t="shared" si="3"/>
        <v>#DIV/0!</v>
      </c>
      <c r="W10" s="51"/>
      <c r="X10" s="80">
        <f t="shared" si="4"/>
        <v>0</v>
      </c>
      <c r="Y10" s="56"/>
      <c r="Z10" s="81">
        <f t="shared" si="5"/>
        <v>0</v>
      </c>
      <c r="AA10" s="4"/>
    </row>
    <row r="11" spans="1:27" s="57" customFormat="1" ht="57.75" customHeight="1" x14ac:dyDescent="0.2">
      <c r="A11" s="63"/>
      <c r="B11" s="35"/>
      <c r="C11" s="55" t="s">
        <v>24</v>
      </c>
      <c r="D11" s="49"/>
      <c r="E11" s="56"/>
      <c r="F11" s="56"/>
      <c r="G11" s="56"/>
      <c r="H11" s="56"/>
      <c r="I11" s="56"/>
      <c r="J11" s="56"/>
      <c r="K11" s="77">
        <f t="shared" si="0"/>
        <v>0</v>
      </c>
      <c r="L11" s="56"/>
      <c r="M11" s="56"/>
      <c r="N11" s="56"/>
      <c r="O11" s="56"/>
      <c r="P11" s="56"/>
      <c r="Q11" s="77">
        <f t="shared" si="1"/>
        <v>0</v>
      </c>
      <c r="R11" s="77">
        <f t="shared" si="2"/>
        <v>0</v>
      </c>
      <c r="S11" s="56"/>
      <c r="T11" s="56"/>
      <c r="U11" s="77">
        <f>SUM(R11-S11-T11)</f>
        <v>0</v>
      </c>
      <c r="V11" s="79" t="e">
        <f t="shared" si="3"/>
        <v>#DIV/0!</v>
      </c>
      <c r="W11" s="51"/>
      <c r="X11" s="80">
        <f t="shared" si="4"/>
        <v>0</v>
      </c>
      <c r="Y11" s="56"/>
      <c r="Z11" s="81">
        <f t="shared" si="5"/>
        <v>0</v>
      </c>
      <c r="AA11" s="4"/>
    </row>
    <row r="12" spans="1:27" x14ac:dyDescent="0.2">
      <c r="A12" s="1"/>
      <c r="B12" s="2"/>
      <c r="C12" s="2"/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4"/>
      <c r="R12" s="2"/>
      <c r="S12" s="2"/>
      <c r="T12" s="2"/>
      <c r="U12" s="2"/>
      <c r="V12" s="5"/>
      <c r="W12" s="2"/>
      <c r="X12" s="73"/>
      <c r="Y12" s="2"/>
      <c r="Z12" s="67"/>
      <c r="AA12" s="2"/>
    </row>
    <row r="13" spans="1:27" x14ac:dyDescent="0.2">
      <c r="A13" s="1"/>
      <c r="B13" s="2"/>
      <c r="C13" s="2"/>
      <c r="D13" s="3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2"/>
      <c r="V13" s="5"/>
      <c r="W13" s="2"/>
      <c r="X13" s="73"/>
      <c r="Y13" s="59"/>
      <c r="Z13" s="67"/>
      <c r="AA13" s="2"/>
    </row>
    <row r="14" spans="1:27" x14ac:dyDescent="0.2">
      <c r="A14" s="1"/>
      <c r="B14" s="2"/>
      <c r="C14" s="2"/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4"/>
      <c r="R14" s="2"/>
      <c r="S14" s="2"/>
      <c r="T14" s="2"/>
      <c r="U14" s="2"/>
      <c r="V14" s="5"/>
      <c r="W14" s="2"/>
      <c r="X14" s="73"/>
      <c r="Y14" s="2"/>
      <c r="Z14" s="67"/>
      <c r="AA14" s="2"/>
    </row>
    <row r="15" spans="1:27" x14ac:dyDescent="0.2">
      <c r="A15" s="1"/>
      <c r="B15" s="2"/>
      <c r="C15" s="2"/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4"/>
      <c r="R15" s="2"/>
      <c r="S15" s="2"/>
      <c r="T15" s="2"/>
      <c r="U15" s="2"/>
      <c r="V15" s="5"/>
      <c r="W15" s="2"/>
      <c r="X15" s="73"/>
      <c r="Y15" s="2"/>
      <c r="Z15" s="67"/>
      <c r="AA15" s="2"/>
    </row>
    <row r="16" spans="1:27" x14ac:dyDescent="0.2">
      <c r="A16" s="1"/>
      <c r="B16" s="2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4"/>
      <c r="R16" s="2"/>
      <c r="S16" s="2"/>
      <c r="T16" s="2"/>
      <c r="U16" s="2"/>
      <c r="V16" s="5"/>
      <c r="W16" s="2"/>
      <c r="X16" s="73"/>
      <c r="Y16" s="2"/>
      <c r="Z16" s="67"/>
      <c r="AA16" s="2"/>
    </row>
  </sheetData>
  <mergeCells count="31">
    <mergeCell ref="A2:V2"/>
    <mergeCell ref="W2:Y2"/>
    <mergeCell ref="A3:A7"/>
    <mergeCell ref="B3:C7"/>
    <mergeCell ref="D3:D6"/>
    <mergeCell ref="E3:V3"/>
    <mergeCell ref="W3:X4"/>
    <mergeCell ref="Y3:Y6"/>
    <mergeCell ref="K5:K6"/>
    <mergeCell ref="L5:L6"/>
    <mergeCell ref="T5:T6"/>
    <mergeCell ref="F5:G5"/>
    <mergeCell ref="N5:O5"/>
    <mergeCell ref="H5:J5"/>
    <mergeCell ref="M5:M6"/>
    <mergeCell ref="Z3:Z6"/>
    <mergeCell ref="E4:K4"/>
    <mergeCell ref="L4:Q4"/>
    <mergeCell ref="R4:R6"/>
    <mergeCell ref="S4:T4"/>
    <mergeCell ref="U4:U6"/>
    <mergeCell ref="V4:V6"/>
    <mergeCell ref="E5:E6"/>
    <mergeCell ref="W5:W6"/>
    <mergeCell ref="X5:X6"/>
    <mergeCell ref="P5:P6"/>
    <mergeCell ref="Q5:Q6"/>
    <mergeCell ref="S5:S6"/>
    <mergeCell ref="A8:A11"/>
    <mergeCell ref="B8:B11"/>
    <mergeCell ref="E13:T13"/>
  </mergeCells>
  <pageMargins left="0.25" right="0.25" top="0.75" bottom="0.75" header="0.3" footer="0.3"/>
  <pageSetup paperSize="9" scale="4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xadaa</cp:lastModifiedBy>
  <cp:lastPrinted>2018-04-25T09:04:41Z</cp:lastPrinted>
  <dcterms:created xsi:type="dcterms:W3CDTF">2018-04-19T09:56:58Z</dcterms:created>
  <dcterms:modified xsi:type="dcterms:W3CDTF">2018-04-25T09:06:37Z</dcterms:modified>
</cp:coreProperties>
</file>